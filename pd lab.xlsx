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739BD5B-E222-45C0-B427-93AB51A0DC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struction 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<sst xmlns="http://schemas.openxmlformats.org/spreadsheetml/2006/main" count="221" uniqueCount="65">
  <si>
    <t>Sr No</t>
  </si>
  <si>
    <t>Stage</t>
  </si>
  <si>
    <t>Task</t>
  </si>
  <si>
    <t>Responsible (R)</t>
  </si>
  <si>
    <t>Accountable (A)</t>
  </si>
  <si>
    <t>Consulted (C)</t>
  </si>
  <si>
    <t>Informed (I)</t>
  </si>
  <si>
    <t>Cost (Cr)</t>
  </si>
  <si>
    <t>Time (Days)</t>
  </si>
  <si>
    <t>Cost Weight</t>
  </si>
  <si>
    <t>Time Weight</t>
  </si>
  <si>
    <t>DPR</t>
  </si>
  <si>
    <t>Inception report</t>
  </si>
  <si>
    <t>Consultant</t>
  </si>
  <si>
    <t>Client</t>
  </si>
  <si>
    <t>PMC</t>
  </si>
  <si>
    <t>Govt</t>
  </si>
  <si>
    <t>Feasibility study</t>
  </si>
  <si>
    <t>Survey</t>
  </si>
  <si>
    <t>Traffic survey</t>
  </si>
  <si>
    <t>Experts</t>
  </si>
  <si>
    <t>Topographic survey</t>
  </si>
  <si>
    <t>Survey Team</t>
  </si>
  <si>
    <t>Contractor</t>
  </si>
  <si>
    <t>Geotech investigation</t>
  </si>
  <si>
    <t>Lab</t>
  </si>
  <si>
    <t>LA Stage I</t>
  </si>
  <si>
    <t>DPR preparation</t>
  </si>
  <si>
    <t>AE</t>
  </si>
  <si>
    <t>BOQ prep</t>
  </si>
  <si>
    <t>LA</t>
  </si>
  <si>
    <t>LA-II</t>
  </si>
  <si>
    <t>LA-III</t>
  </si>
  <si>
    <t>LA-IV</t>
  </si>
  <si>
    <t>Tender</t>
  </si>
  <si>
    <t>Tender prep</t>
  </si>
  <si>
    <t>Tender invite</t>
  </si>
  <si>
    <t>Public</t>
  </si>
  <si>
    <t>Prequalification</t>
  </si>
  <si>
    <t>Technical bid</t>
  </si>
  <si>
    <t>Bidders</t>
  </si>
  <si>
    <t>Financial bid</t>
  </si>
  <si>
    <t>LOA</t>
  </si>
  <si>
    <t>Pre-Con</t>
  </si>
  <si>
    <t>AE appointment</t>
  </si>
  <si>
    <t>Utility shifting</t>
  </si>
  <si>
    <t>Clearances</t>
  </si>
  <si>
    <t>Camp setup</t>
  </si>
  <si>
    <t>Design</t>
  </si>
  <si>
    <t>Design submission</t>
  </si>
  <si>
    <t>Proof checking</t>
  </si>
  <si>
    <t>AE review</t>
  </si>
  <si>
    <t>Approval</t>
  </si>
  <si>
    <t>Construction</t>
  </si>
  <si>
    <t>Earthwork</t>
  </si>
  <si>
    <t>Subgrade</t>
  </si>
  <si>
    <t>GSB+WMM</t>
  </si>
  <si>
    <t>Pavement</t>
  </si>
  <si>
    <t>Drainage</t>
  </si>
  <si>
    <t>Structures</t>
  </si>
  <si>
    <t>Post</t>
  </si>
  <si>
    <t>Testing</t>
  </si>
  <si>
    <t>Final billing</t>
  </si>
  <si>
    <t>Handover</t>
  </si>
  <si>
    <t>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</si>
</sst>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/>
  </sheetViews>
  <sheetFormatPr defaultRowHeight="14.4" x14ac:dyDescent="0.3"/>
  <cols>
    <col min="2" max="2" width="11.44140625" bestFit="1" customWidth="1"/>
    <col min="3" max="3" width="18.88671875" bestFit="1" customWidth="1"/>
    <col min="4" max="4" width="13.44140625" bestFit="1" customWidth="1"/>
    <col min="5" max="5" width="13.88671875" bestFit="1" customWidth="1"/>
    <col min="6" max="6" width="11.77734375" bestFit="1" customWidth="1"/>
    <col min="7" max="7" width="10.6640625" bestFit="1" customWidth="1"/>
    <col min="9" max="9" width="10.44140625" bestFit="1" customWidth="1"/>
    <col min="10" max="11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0.08</v>
      </c>
      <c r="I2">
        <v>15</v>
      </c>
      <c r="J2">
        <f>H2/SUM(H2:H36)</f>
        <v>3.4980323567993009E-3</v>
      </c>
      <c r="K2">
        <f>I2/SUM(I2:I36)</f>
        <v>1.0316368638239339E-2</v>
      </c>
    </row>
    <row r="3" spans="1:11" x14ac:dyDescent="0.3">
      <c r="A3">
        <v>2</v>
      </c>
      <c r="B3" t="s">
        <v>11</v>
      </c>
      <c r="C3" t="s">
        <v>17</v>
      </c>
      <c r="D3" t="s">
        <v>13</v>
      </c>
      <c r="E3" t="s">
        <v>14</v>
      </c>
      <c r="F3" t="s">
        <v>18</v>
      </c>
      <c r="G3" t="s">
        <v>15</v>
      </c>
      <c r="H3">
        <v>0.3</v>
      </c>
      <c r="I3">
        <v>30</v>
      </c>
      <c r="J3">
        <f>H3/SUM(H2:H36)</f>
        <v>1.3117621337997378E-2</v>
      </c>
      <c r="K3">
        <f>I3/SUM(I2:I36)</f>
        <v>2.0632737276478678E-2</v>
      </c>
    </row>
    <row r="4" spans="1:11" x14ac:dyDescent="0.3">
      <c r="A4">
        <v>3</v>
      </c>
      <c r="B4" t="s">
        <v>11</v>
      </c>
      <c r="C4" t="s">
        <v>19</v>
      </c>
      <c r="D4" t="s">
        <v>13</v>
      </c>
      <c r="E4" t="s">
        <v>14</v>
      </c>
      <c r="F4" t="s">
        <v>20</v>
      </c>
      <c r="G4" t="s">
        <v>15</v>
      </c>
      <c r="H4">
        <v>0.15</v>
      </c>
      <c r="I4">
        <v>20</v>
      </c>
      <c r="J4">
        <f>H4/SUM(H2:H36)</f>
        <v>6.5588106689986889E-3</v>
      </c>
      <c r="K4">
        <f>I4/SUM(I2:I36)</f>
        <v>1.3755158184319119E-2</v>
      </c>
    </row>
    <row r="5" spans="1:11" x14ac:dyDescent="0.3">
      <c r="A5">
        <v>4</v>
      </c>
      <c r="B5" t="s">
        <v>11</v>
      </c>
      <c r="C5" t="s">
        <v>21</v>
      </c>
      <c r="D5" t="s">
        <v>22</v>
      </c>
      <c r="E5" t="s">
        <v>13</v>
      </c>
      <c r="F5" t="s">
        <v>23</v>
      </c>
      <c r="G5" t="s">
        <v>14</v>
      </c>
      <c r="H5">
        <v>0.2</v>
      </c>
      <c r="I5">
        <v>25</v>
      </c>
      <c r="J5">
        <f>H5/SUM(H2:H36)</f>
        <v>8.7450808919982519E-3</v>
      </c>
      <c r="K5">
        <f>I5/SUM(I2:I36)</f>
        <v>1.7193947730398899E-2</v>
      </c>
    </row>
    <row r="6" spans="1:11" x14ac:dyDescent="0.3">
      <c r="A6">
        <v>5</v>
      </c>
      <c r="B6" t="s">
        <v>11</v>
      </c>
      <c r="C6" t="s">
        <v>24</v>
      </c>
      <c r="D6" t="s">
        <v>13</v>
      </c>
      <c r="E6" t="s">
        <v>14</v>
      </c>
      <c r="F6" t="s">
        <v>25</v>
      </c>
      <c r="G6" t="s">
        <v>15</v>
      </c>
      <c r="H6">
        <v>0.35</v>
      </c>
      <c r="I6">
        <v>30</v>
      </c>
      <c r="J6">
        <f>H6/SUM(H2:H36)</f>
        <v>1.530389156099694E-2</v>
      </c>
      <c r="K6">
        <f>I6/SUM(I2:I36)</f>
        <v>2.0632737276478678E-2</v>
      </c>
    </row>
    <row r="7" spans="1:11" x14ac:dyDescent="0.3">
      <c r="A7">
        <v>6</v>
      </c>
      <c r="B7" t="s">
        <v>11</v>
      </c>
      <c r="C7" t="s">
        <v>26</v>
      </c>
      <c r="D7" t="s">
        <v>13</v>
      </c>
      <c r="E7" t="s">
        <v>14</v>
      </c>
      <c r="F7" t="s">
        <v>16</v>
      </c>
      <c r="G7" t="s">
        <v>15</v>
      </c>
      <c r="H7">
        <v>0.1</v>
      </c>
      <c r="I7">
        <v>20</v>
      </c>
      <c r="J7">
        <f>H7/SUM(H2:H36)</f>
        <v>4.3725404459991259E-3</v>
      </c>
      <c r="K7">
        <f>I7/SUM(I2:I36)</f>
        <v>1.3755158184319119E-2</v>
      </c>
    </row>
    <row r="8" spans="1:11" x14ac:dyDescent="0.3">
      <c r="A8">
        <v>7</v>
      </c>
      <c r="B8" t="s">
        <v>11</v>
      </c>
      <c r="C8" t="s">
        <v>27</v>
      </c>
      <c r="D8" t="s">
        <v>13</v>
      </c>
      <c r="E8" t="s">
        <v>14</v>
      </c>
      <c r="F8" t="s">
        <v>28</v>
      </c>
      <c r="G8" t="s">
        <v>15</v>
      </c>
      <c r="H8">
        <v>0.8</v>
      </c>
      <c r="I8">
        <v>45</v>
      </c>
      <c r="J8">
        <f>H8/SUM(H2:H36)</f>
        <v>3.4980323567993007E-2</v>
      </c>
      <c r="K8">
        <f>I8/SUM(I2:I36)</f>
        <v>3.0949105914718018E-2</v>
      </c>
    </row>
    <row r="9" spans="1:11" x14ac:dyDescent="0.3">
      <c r="A9">
        <v>8</v>
      </c>
      <c r="B9" t="s">
        <v>11</v>
      </c>
      <c r="C9" t="s">
        <v>29</v>
      </c>
      <c r="D9" t="s">
        <v>13</v>
      </c>
      <c r="E9" t="s">
        <v>14</v>
      </c>
      <c r="F9" t="s">
        <v>28</v>
      </c>
      <c r="G9" t="s">
        <v>15</v>
      </c>
      <c r="H9">
        <v>0.12</v>
      </c>
      <c r="I9">
        <v>15</v>
      </c>
      <c r="J9">
        <f>H9/SUM(H2:H36)</f>
        <v>5.2470485351989509E-3</v>
      </c>
      <c r="K9">
        <f>I9/SUM(I2:I36)</f>
        <v>1.0316368638239339E-2</v>
      </c>
    </row>
    <row r="10" spans="1:11" x14ac:dyDescent="0.3">
      <c r="A10">
        <v>9</v>
      </c>
      <c r="B10" t="s">
        <v>30</v>
      </c>
      <c r="C10" t="s">
        <v>31</v>
      </c>
      <c r="D10" t="s">
        <v>13</v>
      </c>
      <c r="E10" t="s">
        <v>14</v>
      </c>
      <c r="F10" t="s">
        <v>16</v>
      </c>
      <c r="G10" t="s">
        <v>15</v>
      </c>
      <c r="H10">
        <v>0.2</v>
      </c>
      <c r="I10">
        <v>30</v>
      </c>
      <c r="J10">
        <f>H10/SUM(H2:H36)</f>
        <v>8.7450808919982519E-3</v>
      </c>
      <c r="K10">
        <f>I10/SUM(I2:I36)</f>
        <v>2.0632737276478678E-2</v>
      </c>
    </row>
    <row r="11" spans="1:11" x14ac:dyDescent="0.3">
      <c r="A11">
        <v>10</v>
      </c>
      <c r="B11" t="s">
        <v>30</v>
      </c>
      <c r="C11" t="s">
        <v>32</v>
      </c>
      <c r="D11" t="s">
        <v>16</v>
      </c>
      <c r="E11" t="s">
        <v>14</v>
      </c>
      <c r="F11" t="s">
        <v>13</v>
      </c>
      <c r="G11" t="s">
        <v>15</v>
      </c>
      <c r="H11">
        <v>2.5</v>
      </c>
      <c r="I11">
        <v>60</v>
      </c>
      <c r="J11">
        <f>H11/SUM(H2:H36)</f>
        <v>0.10931351114997814</v>
      </c>
      <c r="K11">
        <f>I11/SUM(I2:I36)</f>
        <v>4.1265474552957357E-2</v>
      </c>
    </row>
    <row r="12" spans="1:11" x14ac:dyDescent="0.3">
      <c r="A12">
        <v>11</v>
      </c>
      <c r="B12" t="s">
        <v>30</v>
      </c>
      <c r="C12" t="s">
        <v>33</v>
      </c>
      <c r="D12" t="s">
        <v>16</v>
      </c>
      <c r="E12" t="s">
        <v>14</v>
      </c>
      <c r="F12" t="s">
        <v>13</v>
      </c>
      <c r="G12" t="s">
        <v>23</v>
      </c>
      <c r="H12">
        <v>1.8</v>
      </c>
      <c r="I12">
        <v>90</v>
      </c>
      <c r="J12">
        <f>H12/SUM(H2:H36)</f>
        <v>7.870572802798427E-2</v>
      </c>
      <c r="K12">
        <f>I12/SUM(I2:I36)</f>
        <v>6.1898211829436035E-2</v>
      </c>
    </row>
    <row r="13" spans="1:11" x14ac:dyDescent="0.3">
      <c r="A13">
        <v>12</v>
      </c>
      <c r="B13" t="s">
        <v>34</v>
      </c>
      <c r="C13" t="s">
        <v>35</v>
      </c>
      <c r="D13" t="s">
        <v>13</v>
      </c>
      <c r="E13" t="s">
        <v>14</v>
      </c>
      <c r="F13" t="s">
        <v>15</v>
      </c>
      <c r="G13" t="s">
        <v>23</v>
      </c>
      <c r="H13">
        <v>0.1</v>
      </c>
      <c r="I13">
        <v>15</v>
      </c>
      <c r="J13">
        <f>H13/SUM(H2:H36)</f>
        <v>4.3725404459991259E-3</v>
      </c>
      <c r="K13">
        <f>I13/SUM(I2:I36)</f>
        <v>1.0316368638239339E-2</v>
      </c>
    </row>
    <row r="14" spans="1:11" x14ac:dyDescent="0.3">
      <c r="A14">
        <v>13</v>
      </c>
      <c r="B14" t="s">
        <v>34</v>
      </c>
      <c r="C14" t="s">
        <v>36</v>
      </c>
      <c r="D14" t="s">
        <v>14</v>
      </c>
      <c r="E14" t="s">
        <v>14</v>
      </c>
      <c r="F14" t="s">
        <v>13</v>
      </c>
      <c r="G14" t="s">
        <v>37</v>
      </c>
      <c r="H14">
        <v>0.02</v>
      </c>
      <c r="I14">
        <v>10</v>
      </c>
      <c r="J14">
        <f>H14/SUM(H2:H36)</f>
        <v>8.7450808919982523E-4</v>
      </c>
      <c r="K14">
        <f>I14/SUM(I2:I36)</f>
        <v>6.8775790921595595E-3</v>
      </c>
    </row>
    <row r="15" spans="1:11" x14ac:dyDescent="0.3">
      <c r="A15">
        <v>14</v>
      </c>
      <c r="B15" t="s">
        <v>34</v>
      </c>
      <c r="C15" t="s">
        <v>38</v>
      </c>
      <c r="D15" t="s">
        <v>14</v>
      </c>
      <c r="E15" t="s">
        <v>14</v>
      </c>
      <c r="F15" t="s">
        <v>13</v>
      </c>
      <c r="G15" t="s">
        <v>15</v>
      </c>
      <c r="H15">
        <v>0.03</v>
      </c>
      <c r="I15">
        <v>15</v>
      </c>
      <c r="J15">
        <f>H15/SUM(H2:H36)</f>
        <v>1.3117621337997377E-3</v>
      </c>
      <c r="K15">
        <f>I15/SUM(I2:I36)</f>
        <v>1.0316368638239339E-2</v>
      </c>
    </row>
    <row r="16" spans="1:11" x14ac:dyDescent="0.3">
      <c r="A16">
        <v>15</v>
      </c>
      <c r="B16" t="s">
        <v>34</v>
      </c>
      <c r="C16" t="s">
        <v>39</v>
      </c>
      <c r="D16" t="s">
        <v>14</v>
      </c>
      <c r="E16" t="s">
        <v>14</v>
      </c>
      <c r="F16" t="s">
        <v>13</v>
      </c>
      <c r="G16" t="s">
        <v>40</v>
      </c>
      <c r="H16">
        <v>0.02</v>
      </c>
      <c r="I16">
        <v>5</v>
      </c>
      <c r="J16">
        <f>H16/SUM(H2:H36)</f>
        <v>8.7450808919982523E-4</v>
      </c>
      <c r="K16">
        <f>I16/SUM(I2:I36)</f>
        <v>3.4387895460797797E-3</v>
      </c>
    </row>
    <row r="17" spans="1:11" x14ac:dyDescent="0.3">
      <c r="A17">
        <v>16</v>
      </c>
      <c r="B17" t="s">
        <v>34</v>
      </c>
      <c r="C17" t="s">
        <v>41</v>
      </c>
      <c r="D17" t="s">
        <v>14</v>
      </c>
      <c r="E17" t="s">
        <v>14</v>
      </c>
      <c r="F17" t="s">
        <v>13</v>
      </c>
      <c r="G17" t="s">
        <v>40</v>
      </c>
      <c r="H17">
        <v>0.02</v>
      </c>
      <c r="I17">
        <v>5</v>
      </c>
      <c r="J17">
        <f>H17/SUM(H2:H36)</f>
        <v>8.7450808919982523E-4</v>
      </c>
      <c r="K17">
        <f>I17/SUM(I2:I36)</f>
        <v>3.4387895460797797E-3</v>
      </c>
    </row>
    <row r="18" spans="1:11" x14ac:dyDescent="0.3">
      <c r="A18">
        <v>17</v>
      </c>
      <c r="B18" t="s">
        <v>34</v>
      </c>
      <c r="C18" t="s">
        <v>42</v>
      </c>
      <c r="D18" t="s">
        <v>14</v>
      </c>
      <c r="E18" t="s">
        <v>14</v>
      </c>
      <c r="F18" t="s">
        <v>13</v>
      </c>
      <c r="G18" t="s">
        <v>23</v>
      </c>
      <c r="H18">
        <v>0.01</v>
      </c>
      <c r="I18">
        <v>7</v>
      </c>
      <c r="J18">
        <f>H18/SUM(H2:H36)</f>
        <v>4.3725404459991261E-4</v>
      </c>
      <c r="K18">
        <f>I18/SUM(I2:I36)</f>
        <v>4.8143053645116922E-3</v>
      </c>
    </row>
    <row r="19" spans="1:11" x14ac:dyDescent="0.3">
      <c r="A19">
        <v>18</v>
      </c>
      <c r="B19" t="s">
        <v>43</v>
      </c>
      <c r="C19" t="s">
        <v>44</v>
      </c>
      <c r="D19" t="s">
        <v>14</v>
      </c>
      <c r="E19" t="s">
        <v>14</v>
      </c>
      <c r="F19" t="s">
        <v>13</v>
      </c>
      <c r="G19" t="s">
        <v>23</v>
      </c>
      <c r="H19">
        <v>0.3</v>
      </c>
      <c r="I19">
        <v>15</v>
      </c>
      <c r="J19">
        <f>H19/SUM(H2:H36)</f>
        <v>1.3117621337997378E-2</v>
      </c>
      <c r="K19">
        <f>I19/SUM(I2:I36)</f>
        <v>1.0316368638239339E-2</v>
      </c>
    </row>
    <row r="20" spans="1:11" x14ac:dyDescent="0.3">
      <c r="A20">
        <v>19</v>
      </c>
      <c r="B20" t="s">
        <v>43</v>
      </c>
      <c r="C20" t="s">
        <v>45</v>
      </c>
      <c r="D20" t="s">
        <v>23</v>
      </c>
      <c r="E20" t="s">
        <v>14</v>
      </c>
      <c r="F20" t="s">
        <v>16</v>
      </c>
      <c r="G20" t="s">
        <v>15</v>
      </c>
      <c r="H20">
        <v>1.5</v>
      </c>
      <c r="I20">
        <v>60</v>
      </c>
      <c r="J20">
        <f>H20/SUM(H2:H36)</f>
        <v>6.5588106689986894E-2</v>
      </c>
      <c r="K20">
        <f>I20/SUM(I2:I36)</f>
        <v>4.1265474552957357E-2</v>
      </c>
    </row>
    <row r="21" spans="1:11" x14ac:dyDescent="0.3">
      <c r="A21">
        <v>20</v>
      </c>
      <c r="B21" t="s">
        <v>43</v>
      </c>
      <c r="C21" t="s">
        <v>46</v>
      </c>
      <c r="D21" t="s">
        <v>16</v>
      </c>
      <c r="E21" t="s">
        <v>14</v>
      </c>
      <c r="F21" t="s">
        <v>13</v>
      </c>
      <c r="G21" t="s">
        <v>15</v>
      </c>
      <c r="H21">
        <v>0.5</v>
      </c>
      <c r="I21">
        <v>90</v>
      </c>
      <c r="J21">
        <f>H21/SUM(H2:H36)</f>
        <v>2.1862702229995631E-2</v>
      </c>
      <c r="K21">
        <f>I21/SUM(I2:I36)</f>
        <v>6.1898211829436035E-2</v>
      </c>
    </row>
    <row r="22" spans="1:11" x14ac:dyDescent="0.3">
      <c r="A22">
        <v>21</v>
      </c>
      <c r="B22" t="s">
        <v>43</v>
      </c>
      <c r="C22" t="s">
        <v>47</v>
      </c>
      <c r="D22" t="s">
        <v>23</v>
      </c>
      <c r="E22" t="s">
        <v>23</v>
      </c>
      <c r="F22" t="s">
        <v>15</v>
      </c>
      <c r="G22" t="s">
        <v>14</v>
      </c>
      <c r="H22">
        <v>2</v>
      </c>
      <c r="I22">
        <v>30</v>
      </c>
      <c r="J22">
        <f>H22/SUM(H2:H36)</f>
        <v>8.7450808919982526E-2</v>
      </c>
      <c r="K22">
        <f>I22/SUM(I2:I36)</f>
        <v>2.0632737276478678E-2</v>
      </c>
    </row>
    <row r="23" spans="1:11" x14ac:dyDescent="0.3">
      <c r="A23">
        <v>22</v>
      </c>
      <c r="B23" t="s">
        <v>48</v>
      </c>
      <c r="C23" t="s">
        <v>49</v>
      </c>
      <c r="D23" t="s">
        <v>23</v>
      </c>
      <c r="E23" t="s">
        <v>23</v>
      </c>
      <c r="F23" t="s">
        <v>13</v>
      </c>
      <c r="G23" t="s">
        <v>14</v>
      </c>
      <c r="H23">
        <v>0.15</v>
      </c>
      <c r="I23">
        <v>20</v>
      </c>
      <c r="J23">
        <f>H23/SUM(H2:H36)</f>
        <v>6.5588106689986889E-3</v>
      </c>
      <c r="K23">
        <f>I23/SUM(I2:I36)</f>
        <v>1.3755158184319119E-2</v>
      </c>
    </row>
    <row r="24" spans="1:11" x14ac:dyDescent="0.3">
      <c r="A24">
        <v>23</v>
      </c>
      <c r="B24" t="s">
        <v>48</v>
      </c>
      <c r="C24" t="s">
        <v>50</v>
      </c>
      <c r="D24" t="s">
        <v>13</v>
      </c>
      <c r="E24" t="s">
        <v>14</v>
      </c>
      <c r="F24" t="s">
        <v>28</v>
      </c>
      <c r="G24" t="s">
        <v>23</v>
      </c>
      <c r="H24">
        <v>0.08</v>
      </c>
      <c r="I24">
        <v>15</v>
      </c>
      <c r="J24">
        <f>H24/SUM(H2:H36)</f>
        <v>3.4980323567993009E-3</v>
      </c>
      <c r="K24">
        <f>I24/SUM(I2:I36)</f>
        <v>1.0316368638239339E-2</v>
      </c>
    </row>
    <row r="25" spans="1:11" x14ac:dyDescent="0.3">
      <c r="A25">
        <v>24</v>
      </c>
      <c r="B25" t="s">
        <v>48</v>
      </c>
      <c r="C25" t="s">
        <v>51</v>
      </c>
      <c r="D25" t="s">
        <v>28</v>
      </c>
      <c r="E25" t="s">
        <v>14</v>
      </c>
      <c r="F25" t="s">
        <v>13</v>
      </c>
      <c r="G25" t="s">
        <v>23</v>
      </c>
      <c r="H25">
        <v>0.05</v>
      </c>
      <c r="I25">
        <v>10</v>
      </c>
      <c r="J25">
        <f>H25/SUM(H2:H36)</f>
        <v>2.186270222999563E-3</v>
      </c>
      <c r="K25">
        <f>I25/SUM(I2:I36)</f>
        <v>6.8775790921595595E-3</v>
      </c>
    </row>
    <row r="26" spans="1:11" x14ac:dyDescent="0.3">
      <c r="A26">
        <v>25</v>
      </c>
      <c r="B26" t="s">
        <v>48</v>
      </c>
      <c r="C26" t="s">
        <v>52</v>
      </c>
      <c r="D26" t="s">
        <v>14</v>
      </c>
      <c r="E26" t="s">
        <v>14</v>
      </c>
      <c r="F26" t="s">
        <v>28</v>
      </c>
      <c r="G26" t="s">
        <v>23</v>
      </c>
      <c r="H26">
        <v>0.02</v>
      </c>
      <c r="I26">
        <v>7</v>
      </c>
      <c r="J26">
        <f>H26/SUM(H2:H36)</f>
        <v>8.7450808919982523E-4</v>
      </c>
      <c r="K26">
        <f>I26/SUM(I2:I36)</f>
        <v>4.8143053645116922E-3</v>
      </c>
    </row>
    <row r="27" spans="1:11" x14ac:dyDescent="0.3">
      <c r="A27">
        <v>26</v>
      </c>
      <c r="B27" t="s">
        <v>53</v>
      </c>
      <c r="C27" t="s">
        <v>54</v>
      </c>
      <c r="D27" t="s">
        <v>23</v>
      </c>
      <c r="E27" t="s">
        <v>23</v>
      </c>
      <c r="F27" t="s">
        <v>28</v>
      </c>
      <c r="G27" t="s">
        <v>14</v>
      </c>
      <c r="H27">
        <v>1.2</v>
      </c>
      <c r="I27">
        <v>60</v>
      </c>
      <c r="J27">
        <f>H27/SUM(H2:H36)</f>
        <v>5.2470485351989511E-2</v>
      </c>
      <c r="K27">
        <f>I27/SUM(I2:I36)</f>
        <v>4.1265474552957357E-2</v>
      </c>
    </row>
    <row r="28" spans="1:11" x14ac:dyDescent="0.3">
      <c r="A28">
        <v>27</v>
      </c>
      <c r="B28" t="s">
        <v>53</v>
      </c>
      <c r="C28" t="s">
        <v>55</v>
      </c>
      <c r="D28" t="s">
        <v>23</v>
      </c>
      <c r="E28" t="s">
        <v>23</v>
      </c>
      <c r="F28" t="s">
        <v>28</v>
      </c>
      <c r="G28" t="s">
        <v>15</v>
      </c>
      <c r="H28">
        <v>0.8</v>
      </c>
      <c r="I28">
        <v>30</v>
      </c>
      <c r="J28">
        <f>H28/SUM(H2:H36)</f>
        <v>3.4980323567993007E-2</v>
      </c>
      <c r="K28">
        <f>I28/SUM(I2:I36)</f>
        <v>2.0632737276478678E-2</v>
      </c>
    </row>
    <row r="29" spans="1:11" x14ac:dyDescent="0.3">
      <c r="A29">
        <v>28</v>
      </c>
      <c r="B29" t="s">
        <v>53</v>
      </c>
      <c r="C29" t="s">
        <v>56</v>
      </c>
      <c r="D29" t="s">
        <v>23</v>
      </c>
      <c r="E29" t="s">
        <v>23</v>
      </c>
      <c r="F29" t="s">
        <v>28</v>
      </c>
      <c r="G29" t="s">
        <v>15</v>
      </c>
      <c r="H29">
        <v>1</v>
      </c>
      <c r="I29">
        <v>40</v>
      </c>
      <c r="J29">
        <f>H29/SUM(H2:H36)</f>
        <v>4.3725404459991263E-2</v>
      </c>
      <c r="K29">
        <f>I29/SUM(I2:I36)</f>
        <v>2.7510316368638238E-2</v>
      </c>
    </row>
    <row r="30" spans="1:11" x14ac:dyDescent="0.3">
      <c r="A30">
        <v>29</v>
      </c>
      <c r="B30" t="s">
        <v>53</v>
      </c>
      <c r="C30" t="s">
        <v>57</v>
      </c>
      <c r="D30" t="s">
        <v>23</v>
      </c>
      <c r="E30" t="s">
        <v>23</v>
      </c>
      <c r="F30" t="s">
        <v>28</v>
      </c>
      <c r="G30" t="s">
        <v>14</v>
      </c>
      <c r="H30">
        <v>3</v>
      </c>
      <c r="I30">
        <v>50</v>
      </c>
      <c r="J30">
        <f>H30/SUM(H2:H36)</f>
        <v>0.13117621337997379</v>
      </c>
      <c r="K30">
        <f>I30/SUM(I2:I36)</f>
        <v>3.4387895460797797E-2</v>
      </c>
    </row>
    <row r="31" spans="1:11" x14ac:dyDescent="0.3">
      <c r="A31">
        <v>30</v>
      </c>
      <c r="B31" t="s">
        <v>53</v>
      </c>
      <c r="C31" t="s">
        <v>58</v>
      </c>
      <c r="D31" t="s">
        <v>23</v>
      </c>
      <c r="E31" t="s">
        <v>23</v>
      </c>
      <c r="F31" t="s">
        <v>28</v>
      </c>
      <c r="G31" t="s">
        <v>15</v>
      </c>
      <c r="H31">
        <v>0.7</v>
      </c>
      <c r="I31">
        <v>40</v>
      </c>
      <c r="J31">
        <f>H31/SUM(H2:H36)</f>
        <v>3.060778312199388E-2</v>
      </c>
      <c r="K31">
        <f>I31/SUM(I2:I36)</f>
        <v>2.7510316368638238E-2</v>
      </c>
    </row>
    <row r="32" spans="1:11" x14ac:dyDescent="0.3">
      <c r="A32">
        <v>31</v>
      </c>
      <c r="B32" t="s">
        <v>53</v>
      </c>
      <c r="C32" t="s">
        <v>59</v>
      </c>
      <c r="D32" t="s">
        <v>23</v>
      </c>
      <c r="E32" t="s">
        <v>23</v>
      </c>
      <c r="F32" t="s">
        <v>28</v>
      </c>
      <c r="G32" t="s">
        <v>14</v>
      </c>
      <c r="H32">
        <v>4</v>
      </c>
      <c r="I32">
        <v>120</v>
      </c>
      <c r="J32">
        <f>H32/SUM(H2:H36)</f>
        <v>0.17490161783996505</v>
      </c>
      <c r="K32">
        <f>I32/SUM(I2:I36)</f>
        <v>8.2530949105914714E-2</v>
      </c>
    </row>
    <row r="33" spans="1:11" x14ac:dyDescent="0.3">
      <c r="A33">
        <v>32</v>
      </c>
      <c r="B33" t="s">
        <v>60</v>
      </c>
      <c r="C33" t="s">
        <v>61</v>
      </c>
      <c r="D33" t="s">
        <v>28</v>
      </c>
      <c r="E33" t="s">
        <v>14</v>
      </c>
      <c r="F33" t="s">
        <v>13</v>
      </c>
      <c r="G33" t="s">
        <v>23</v>
      </c>
      <c r="H33">
        <v>0.2</v>
      </c>
      <c r="I33">
        <v>20</v>
      </c>
      <c r="J33">
        <f>H33/SUM(H2:H36)</f>
        <v>8.7450808919982519E-3</v>
      </c>
      <c r="K33">
        <f>I33/SUM(I2:I36)</f>
        <v>1.3755158184319119E-2</v>
      </c>
    </row>
    <row r="34" spans="1:11" x14ac:dyDescent="0.3">
      <c r="A34">
        <v>33</v>
      </c>
      <c r="B34" t="s">
        <v>60</v>
      </c>
      <c r="C34" t="s">
        <v>62</v>
      </c>
      <c r="D34" t="s">
        <v>23</v>
      </c>
      <c r="E34" t="s">
        <v>14</v>
      </c>
      <c r="F34" t="s">
        <v>13</v>
      </c>
      <c r="G34" t="s">
        <v>15</v>
      </c>
      <c r="H34">
        <v>0.05</v>
      </c>
      <c r="I34">
        <v>30</v>
      </c>
      <c r="J34">
        <f>H34/SUM(H2:H36)</f>
        <v>2.186270222999563E-3</v>
      </c>
      <c r="K34">
        <f>I34/SUM(I2:I36)</f>
        <v>2.0632737276478678E-2</v>
      </c>
    </row>
    <row r="35" spans="1:11" x14ac:dyDescent="0.3">
      <c r="A35">
        <v>34</v>
      </c>
      <c r="B35" t="s">
        <v>60</v>
      </c>
      <c r="C35" t="s">
        <v>63</v>
      </c>
      <c r="D35" t="s">
        <v>23</v>
      </c>
      <c r="E35" t="s">
        <v>14</v>
      </c>
      <c r="F35" t="s">
        <v>28</v>
      </c>
      <c r="G35" t="s">
        <v>37</v>
      </c>
      <c r="H35">
        <v>0.02</v>
      </c>
      <c r="I35">
        <v>15</v>
      </c>
      <c r="J35">
        <f>H35/SUM(H2:H36)</f>
        <v>8.7450808919982523E-4</v>
      </c>
      <c r="K35">
        <f>I35/SUM(I2:I36)</f>
        <v>1.0316368638239339E-2</v>
      </c>
    </row>
    <row r="36" spans="1:11" x14ac:dyDescent="0.3">
      <c r="A36">
        <v>35</v>
      </c>
      <c r="B36" t="s">
        <v>60</v>
      </c>
      <c r="C36" t="s">
        <v>64</v>
      </c>
      <c r="D36" t="s">
        <v>23</v>
      </c>
      <c r="E36" t="s">
        <v>23</v>
      </c>
      <c r="F36" t="s">
        <v>14</v>
      </c>
      <c r="G36" t="s">
        <v>15</v>
      </c>
      <c r="H36">
        <v>0.5</v>
      </c>
      <c r="I36">
        <v>365</v>
      </c>
      <c r="J36">
        <f>H36/SUM(H2:H36)</f>
        <v>2.1862702229995631E-2</v>
      </c>
      <c r="K36">
        <f>I36/SUM(I2:I36)</f>
        <v>0.25103163686382396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Construction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Srianshu Ray</cp:lastModifiedBy>
  <dcterms:created xsi:type="dcterms:W3CDTF">2026-04-08T05:10:47Z</dcterms:created>
  <dcterms:modified xsi:type="dcterms:W3CDTF">2026-04-08T05:13:12Z</dcterms:modified>
</cp:coreProperties>
</file>